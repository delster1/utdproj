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Desktop\Local_Projects\utdproj\data\"/>
    </mc:Choice>
  </mc:AlternateContent>
  <xr:revisionPtr revIDLastSave="0" documentId="8_{4A16BF2C-C21D-4DB6-8E72-3911FC63DD0C}" xr6:coauthVersionLast="47" xr6:coauthVersionMax="47" xr10:uidLastSave="{00000000-0000-0000-0000-000000000000}"/>
  <bookViews>
    <workbookView xWindow="-86" yWindow="0" windowWidth="12515" windowHeight="15823" xr2:uid="{E219DCA7-C869-4452-9DEA-1FD751F2FD5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6" i="1" l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11" i="1"/>
  <c r="B12" i="1"/>
  <c r="C12" i="1"/>
  <c r="D12" i="1"/>
  <c r="E12" i="1"/>
  <c r="B13" i="1"/>
  <c r="C13" i="1"/>
  <c r="D13" i="1"/>
  <c r="E13" i="1"/>
  <c r="B14" i="1"/>
  <c r="C14" i="1"/>
  <c r="D14" i="1"/>
  <c r="E14" i="1"/>
  <c r="B15" i="1"/>
  <c r="C15" i="1"/>
  <c r="D15" i="1"/>
  <c r="E15" i="1"/>
  <c r="B16" i="1"/>
  <c r="C16" i="1"/>
  <c r="D16" i="1"/>
  <c r="E16" i="1"/>
  <c r="B17" i="1"/>
  <c r="C17" i="1"/>
  <c r="D17" i="1"/>
  <c r="E17" i="1"/>
  <c r="B18" i="1"/>
  <c r="C18" i="1"/>
  <c r="D18" i="1"/>
  <c r="E18" i="1"/>
  <c r="B19" i="1"/>
  <c r="C19" i="1"/>
  <c r="D19" i="1"/>
  <c r="E19" i="1"/>
  <c r="B20" i="1"/>
  <c r="C20" i="1"/>
  <c r="D20" i="1"/>
  <c r="E20" i="1"/>
  <c r="B21" i="1"/>
  <c r="C21" i="1"/>
  <c r="D21" i="1"/>
  <c r="E21" i="1"/>
  <c r="B22" i="1"/>
  <c r="C22" i="1"/>
  <c r="D22" i="1"/>
  <c r="E22" i="1"/>
  <c r="B23" i="1"/>
  <c r="C23" i="1"/>
  <c r="D23" i="1"/>
  <c r="E23" i="1"/>
  <c r="B24" i="1"/>
  <c r="C24" i="1"/>
  <c r="D24" i="1"/>
  <c r="E24" i="1"/>
  <c r="B25" i="1"/>
  <c r="C25" i="1"/>
  <c r="D25" i="1"/>
  <c r="E25" i="1"/>
  <c r="B26" i="1"/>
  <c r="C26" i="1"/>
  <c r="D26" i="1"/>
  <c r="E26" i="1"/>
  <c r="B27" i="1"/>
  <c r="C27" i="1"/>
  <c r="D27" i="1"/>
  <c r="E27" i="1"/>
  <c r="B28" i="1"/>
  <c r="C28" i="1"/>
  <c r="D28" i="1"/>
  <c r="E28" i="1"/>
  <c r="B29" i="1"/>
  <c r="C29" i="1"/>
  <c r="D29" i="1"/>
  <c r="E29" i="1"/>
  <c r="B30" i="1"/>
  <c r="C30" i="1"/>
  <c r="D30" i="1"/>
  <c r="E30" i="1"/>
  <c r="B31" i="1"/>
  <c r="C31" i="1"/>
  <c r="D31" i="1"/>
  <c r="E31" i="1"/>
  <c r="B32" i="1"/>
  <c r="C32" i="1"/>
  <c r="D32" i="1"/>
  <c r="E32" i="1"/>
  <c r="B33" i="1"/>
  <c r="C33" i="1"/>
  <c r="D33" i="1"/>
  <c r="E33" i="1"/>
  <c r="B34" i="1"/>
  <c r="C34" i="1"/>
  <c r="D34" i="1"/>
  <c r="E34" i="1"/>
  <c r="B35" i="1"/>
  <c r="C35" i="1"/>
  <c r="D35" i="1"/>
  <c r="E35" i="1"/>
  <c r="B36" i="1"/>
  <c r="C36" i="1"/>
  <c r="D36" i="1"/>
  <c r="E36" i="1"/>
  <c r="E11" i="1"/>
  <c r="D11" i="1"/>
  <c r="C11" i="1"/>
  <c r="B11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 s="1"/>
  <c r="A34" i="1" s="1"/>
  <c r="A35" i="1" s="1"/>
  <c r="A36" i="1" s="1"/>
  <c r="A13" i="1"/>
  <c r="A14" i="1"/>
  <c r="A15" i="1"/>
  <c r="A16" i="1"/>
  <c r="A17" i="1"/>
  <c r="A18" i="1"/>
  <c r="A19" i="1"/>
  <c r="A20" i="1"/>
  <c r="A12" i="1"/>
  <c r="A11" i="1"/>
</calcChain>
</file>

<file path=xl/sharedStrings.xml><?xml version="1.0" encoding="utf-8"?>
<sst xmlns="http://schemas.openxmlformats.org/spreadsheetml/2006/main" count="17" uniqueCount="12">
  <si>
    <t>Variable</t>
  </si>
  <si>
    <t>Mean</t>
  </si>
  <si>
    <t>Std Dev</t>
  </si>
  <si>
    <t>Min</t>
  </si>
  <si>
    <t>Max</t>
  </si>
  <si>
    <t>Temp</t>
  </si>
  <si>
    <t>HeartRate</t>
  </si>
  <si>
    <t>AccelY</t>
  </si>
  <si>
    <t>AccelX</t>
  </si>
  <si>
    <t>AccelZ</t>
  </si>
  <si>
    <t>Time</t>
  </si>
  <si>
    <t>TimeInterval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</si>
</sst>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E555F-A7E4-4E9E-8C01-CB2110ACA67F}">
  <dimension ref="A1:F36"/>
  <sheetViews>
    <sheetView tabSelected="1" workbookViewId="0">
      <selection activeCell="H33" sqref="H33"/>
    </sheetView>
  </sheetViews>
  <sheetFormatPr defaultRowHeight="14.6" x14ac:dyDescent="0.4"/>
  <sheetData>
    <row r="1" spans="1:6" x14ac:dyDescent="0.4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6" x14ac:dyDescent="0.4">
      <c r="A2" t="s">
        <v>6</v>
      </c>
      <c r="B2">
        <v>75</v>
      </c>
      <c r="C2">
        <v>5</v>
      </c>
      <c r="D2">
        <v>45</v>
      </c>
      <c r="E2">
        <v>190</v>
      </c>
    </row>
    <row r="3" spans="1:6" x14ac:dyDescent="0.4">
      <c r="A3" t="s">
        <v>5</v>
      </c>
      <c r="B3">
        <v>27</v>
      </c>
      <c r="C3">
        <v>4</v>
      </c>
      <c r="D3">
        <v>18</v>
      </c>
      <c r="E3">
        <v>35</v>
      </c>
    </row>
    <row r="4" spans="1:6" x14ac:dyDescent="0.4">
      <c r="A4" t="s">
        <v>8</v>
      </c>
      <c r="B4">
        <v>0</v>
      </c>
      <c r="C4">
        <v>0.1</v>
      </c>
      <c r="D4">
        <v>-2</v>
      </c>
      <c r="E4">
        <v>2</v>
      </c>
    </row>
    <row r="5" spans="1:6" x14ac:dyDescent="0.4">
      <c r="A5" t="s">
        <v>7</v>
      </c>
      <c r="B5">
        <v>0</v>
      </c>
      <c r="C5">
        <v>0.1</v>
      </c>
      <c r="D5">
        <v>-2</v>
      </c>
      <c r="E5">
        <v>2</v>
      </c>
    </row>
    <row r="6" spans="1:6" x14ac:dyDescent="0.4">
      <c r="A6" t="s">
        <v>9</v>
      </c>
      <c r="B6">
        <v>0</v>
      </c>
      <c r="C6">
        <v>0.1</v>
      </c>
      <c r="D6">
        <v>-2</v>
      </c>
      <c r="E6">
        <v>2</v>
      </c>
    </row>
    <row r="8" spans="1:6" x14ac:dyDescent="0.4">
      <c r="A8" t="s">
        <v>11</v>
      </c>
      <c r="B8">
        <v>0.5</v>
      </c>
    </row>
    <row r="10" spans="1:6" x14ac:dyDescent="0.4">
      <c r="A10" t="s">
        <v>10</v>
      </c>
      <c r="B10" t="s">
        <v>6</v>
      </c>
      <c r="C10" t="s">
        <v>5</v>
      </c>
      <c r="D10" t="s">
        <v>8</v>
      </c>
      <c r="E10" t="s">
        <v>7</v>
      </c>
      <c r="F10" t="s">
        <v>9</v>
      </c>
    </row>
    <row r="11" spans="1:6" x14ac:dyDescent="0.4">
      <c r="A11">
        <f>B8</f>
        <v>0.5</v>
      </c>
      <c r="B11">
        <f ca="1">MAX(MIN(_xlfn.NORM.INV(RAND(), $B$2, $C$2), $E$2), $D$2)</f>
        <v>77.894957144712478</v>
      </c>
      <c r="C11">
        <f ca="1">MAX(MIN(_xlfn.NORM.INV(RAND(), $B$3, $C$3), $E$3), $D$3)</f>
        <v>33.292611642994835</v>
      </c>
      <c r="D11">
        <f ca="1">MAX(MIN(_xlfn.NORM.INV(RAND(), $B$4, $C$4), $E$4), $D$4)</f>
        <v>6.3785575639573669E-2</v>
      </c>
      <c r="E11">
        <f ca="1">MAX(MIN(_xlfn.NORM.INV(RAND(), $B$5, $C$5), $E$5), $D$5)</f>
        <v>-0.12764728403186251</v>
      </c>
      <c r="F11">
        <f ca="1">MAX(MIN(_xlfn.NORM.INV(RAND(), $B$6, $C$6), $E$6), $D$6)</f>
        <v>-7.1978499096901766E-2</v>
      </c>
    </row>
    <row r="12" spans="1:6" x14ac:dyDescent="0.4">
      <c r="A12">
        <f>$B$8+A11</f>
        <v>1</v>
      </c>
      <c r="B12">
        <f t="shared" ref="B12:B36" ca="1" si="0">MAX(MIN(_xlfn.NORM.INV(RAND(), $B$2, $C$2), $E$2), $D$2)</f>
        <v>79.446307275964685</v>
      </c>
      <c r="C12">
        <f t="shared" ref="C12:C36" ca="1" si="1">MAX(MIN(_xlfn.NORM.INV(RAND(), $B$3, $C$3), $E$3), $D$3)</f>
        <v>32.262841437840557</v>
      </c>
      <c r="D12">
        <f t="shared" ref="D12:D36" ca="1" si="2">MAX(MIN(_xlfn.NORM.INV(RAND(), $B$4, $C$4), $E$4), $D$4)</f>
        <v>-0.11936998741549421</v>
      </c>
      <c r="E12">
        <f t="shared" ref="E12:E36" ca="1" si="3">MAX(MIN(_xlfn.NORM.INV(RAND(), $B$5, $C$5), $E$5), $D$5)</f>
        <v>4.282323932287873E-2</v>
      </c>
      <c r="F12">
        <f t="shared" ref="F12:F36" ca="1" si="4">MAX(MIN(_xlfn.NORM.INV(RAND(), $B$6, $C$6), $E$6), $D$6)</f>
        <v>7.2559262296178206E-2</v>
      </c>
    </row>
    <row r="13" spans="1:6" x14ac:dyDescent="0.4">
      <c r="A13">
        <f t="shared" ref="A13:A36" si="5">$B$8+A12</f>
        <v>1.5</v>
      </c>
      <c r="B13">
        <f t="shared" ca="1" si="0"/>
        <v>74.881523389056625</v>
      </c>
      <c r="C13">
        <f t="shared" ca="1" si="1"/>
        <v>31.001723535062158</v>
      </c>
      <c r="D13">
        <f t="shared" ca="1" si="2"/>
        <v>-0.18584884358989798</v>
      </c>
      <c r="E13">
        <f t="shared" ca="1" si="3"/>
        <v>-0.1272079161977942</v>
      </c>
      <c r="F13">
        <f t="shared" ca="1" si="4"/>
        <v>-2.9894856163320709E-3</v>
      </c>
    </row>
    <row r="14" spans="1:6" x14ac:dyDescent="0.4">
      <c r="A14">
        <f t="shared" si="5"/>
        <v>2</v>
      </c>
      <c r="B14">
        <f t="shared" ca="1" si="0"/>
        <v>73.676978395619074</v>
      </c>
      <c r="C14">
        <f t="shared" ca="1" si="1"/>
        <v>29.080645727752934</v>
      </c>
      <c r="D14">
        <f t="shared" ca="1" si="2"/>
        <v>-6.3124616412605195E-2</v>
      </c>
      <c r="E14">
        <f t="shared" ca="1" si="3"/>
        <v>0.15730561883226513</v>
      </c>
      <c r="F14">
        <f t="shared" ca="1" si="4"/>
        <v>-5.1882983695410272E-2</v>
      </c>
    </row>
    <row r="15" spans="1:6" x14ac:dyDescent="0.4">
      <c r="A15">
        <f t="shared" si="5"/>
        <v>2.5</v>
      </c>
      <c r="B15">
        <f t="shared" ca="1" si="0"/>
        <v>73.586314126597614</v>
      </c>
      <c r="C15">
        <f t="shared" ca="1" si="1"/>
        <v>20.502783624778356</v>
      </c>
      <c r="D15">
        <f t="shared" ca="1" si="2"/>
        <v>-8.9900623198898022E-2</v>
      </c>
      <c r="E15">
        <f t="shared" ca="1" si="3"/>
        <v>-6.6003954670217344E-2</v>
      </c>
      <c r="F15">
        <f t="shared" ca="1" si="4"/>
        <v>-0.15036734774075983</v>
      </c>
    </row>
    <row r="16" spans="1:6" x14ac:dyDescent="0.4">
      <c r="A16">
        <f t="shared" si="5"/>
        <v>3</v>
      </c>
      <c r="B16">
        <f t="shared" ca="1" si="0"/>
        <v>78.866085808705066</v>
      </c>
      <c r="C16">
        <f t="shared" ca="1" si="1"/>
        <v>24.277602636663882</v>
      </c>
      <c r="D16">
        <f t="shared" ca="1" si="2"/>
        <v>-5.0896472764453651E-2</v>
      </c>
      <c r="E16">
        <f t="shared" ca="1" si="3"/>
        <v>-0.11718805078857537</v>
      </c>
      <c r="F16">
        <f t="shared" ca="1" si="4"/>
        <v>-3.2642118254498816E-2</v>
      </c>
    </row>
    <row r="17" spans="1:6" x14ac:dyDescent="0.4">
      <c r="A17">
        <f t="shared" si="5"/>
        <v>3.5</v>
      </c>
      <c r="B17">
        <f t="shared" ca="1" si="0"/>
        <v>79.680635832859267</v>
      </c>
      <c r="C17">
        <f t="shared" ca="1" si="1"/>
        <v>22.82416838398019</v>
      </c>
      <c r="D17">
        <f t="shared" ca="1" si="2"/>
        <v>-0.14751705372872267</v>
      </c>
      <c r="E17">
        <f t="shared" ca="1" si="3"/>
        <v>-0.11355573457303175</v>
      </c>
      <c r="F17">
        <f t="shared" ca="1" si="4"/>
        <v>7.5081010477889287E-2</v>
      </c>
    </row>
    <row r="18" spans="1:6" x14ac:dyDescent="0.4">
      <c r="A18">
        <f t="shared" si="5"/>
        <v>4</v>
      </c>
      <c r="B18">
        <f t="shared" ca="1" si="0"/>
        <v>79.981618852664042</v>
      </c>
      <c r="C18">
        <f t="shared" ca="1" si="1"/>
        <v>22.058381637364249</v>
      </c>
      <c r="D18">
        <f t="shared" ca="1" si="2"/>
        <v>0.10865887276575376</v>
      </c>
      <c r="E18">
        <f t="shared" ca="1" si="3"/>
        <v>-4.3052016213606686E-2</v>
      </c>
      <c r="F18">
        <f t="shared" ca="1" si="4"/>
        <v>-5.1077434688741076E-2</v>
      </c>
    </row>
    <row r="19" spans="1:6" x14ac:dyDescent="0.4">
      <c r="A19">
        <f t="shared" si="5"/>
        <v>4.5</v>
      </c>
      <c r="B19">
        <f t="shared" ca="1" si="0"/>
        <v>79.112423854770185</v>
      </c>
      <c r="C19">
        <f t="shared" ca="1" si="1"/>
        <v>21.105072124196091</v>
      </c>
      <c r="D19">
        <f t="shared" ca="1" si="2"/>
        <v>2.0187341044457845E-2</v>
      </c>
      <c r="E19">
        <f t="shared" ca="1" si="3"/>
        <v>0.11409558876297543</v>
      </c>
      <c r="F19">
        <f t="shared" ca="1" si="4"/>
        <v>1.6972139009642263E-3</v>
      </c>
    </row>
    <row r="20" spans="1:6" x14ac:dyDescent="0.4">
      <c r="A20">
        <f t="shared" si="5"/>
        <v>5</v>
      </c>
      <c r="B20">
        <f t="shared" ca="1" si="0"/>
        <v>74.140337687803637</v>
      </c>
      <c r="C20">
        <f t="shared" ca="1" si="1"/>
        <v>31.372917294184191</v>
      </c>
      <c r="D20">
        <f t="shared" ca="1" si="2"/>
        <v>2.9554211754643828E-3</v>
      </c>
      <c r="E20">
        <f t="shared" ca="1" si="3"/>
        <v>-5.4007881152707674E-2</v>
      </c>
      <c r="F20">
        <f t="shared" ca="1" si="4"/>
        <v>3.1307293696345127E-2</v>
      </c>
    </row>
    <row r="21" spans="1:6" x14ac:dyDescent="0.4">
      <c r="A21">
        <f t="shared" si="5"/>
        <v>5.5</v>
      </c>
      <c r="B21">
        <f t="shared" ca="1" si="0"/>
        <v>75.195944844355495</v>
      </c>
      <c r="C21">
        <f t="shared" ca="1" si="1"/>
        <v>28.963716559288233</v>
      </c>
      <c r="D21">
        <f t="shared" ca="1" si="2"/>
        <v>0.11038242056866934</v>
      </c>
      <c r="E21">
        <f t="shared" ca="1" si="3"/>
        <v>0.16373466141886972</v>
      </c>
      <c r="F21">
        <f t="shared" ca="1" si="4"/>
        <v>-1.3682611513847392E-2</v>
      </c>
    </row>
    <row r="22" spans="1:6" x14ac:dyDescent="0.4">
      <c r="A22">
        <f t="shared" si="5"/>
        <v>6</v>
      </c>
      <c r="B22">
        <f t="shared" ca="1" si="0"/>
        <v>81.517237080341502</v>
      </c>
      <c r="C22">
        <f t="shared" ca="1" si="1"/>
        <v>24.578780057235424</v>
      </c>
      <c r="D22">
        <f t="shared" ca="1" si="2"/>
        <v>-0.10547605845668245</v>
      </c>
      <c r="E22">
        <f t="shared" ca="1" si="3"/>
        <v>-0.14320809128385115</v>
      </c>
      <c r="F22">
        <f t="shared" ca="1" si="4"/>
        <v>7.6397917862503538E-3</v>
      </c>
    </row>
    <row r="23" spans="1:6" x14ac:dyDescent="0.4">
      <c r="A23">
        <f t="shared" si="5"/>
        <v>6.5</v>
      </c>
      <c r="B23">
        <f t="shared" ca="1" si="0"/>
        <v>77.51537869130371</v>
      </c>
      <c r="C23">
        <f t="shared" ca="1" si="1"/>
        <v>29.495424610920786</v>
      </c>
      <c r="D23">
        <f t="shared" ca="1" si="2"/>
        <v>6.4515984558998082E-2</v>
      </c>
      <c r="E23">
        <f t="shared" ca="1" si="3"/>
        <v>0.16584899741556614</v>
      </c>
      <c r="F23">
        <f t="shared" ca="1" si="4"/>
        <v>-2.3171531651923816E-2</v>
      </c>
    </row>
    <row r="24" spans="1:6" x14ac:dyDescent="0.4">
      <c r="A24">
        <f t="shared" si="5"/>
        <v>7</v>
      </c>
      <c r="B24">
        <f t="shared" ca="1" si="0"/>
        <v>81.556605005977289</v>
      </c>
      <c r="C24">
        <f t="shared" ca="1" si="1"/>
        <v>26.912542573822325</v>
      </c>
      <c r="D24">
        <f t="shared" ca="1" si="2"/>
        <v>-7.4732275007378932E-2</v>
      </c>
      <c r="E24">
        <f t="shared" ca="1" si="3"/>
        <v>0.10628209046210282</v>
      </c>
      <c r="F24">
        <f t="shared" ca="1" si="4"/>
        <v>-8.0381030490427718E-2</v>
      </c>
    </row>
    <row r="25" spans="1:6" x14ac:dyDescent="0.4">
      <c r="A25">
        <f t="shared" si="5"/>
        <v>7.5</v>
      </c>
      <c r="B25">
        <f t="shared" ca="1" si="0"/>
        <v>71.479706597043702</v>
      </c>
      <c r="C25">
        <f t="shared" ca="1" si="1"/>
        <v>29.360604949972558</v>
      </c>
      <c r="D25">
        <f t="shared" ca="1" si="2"/>
        <v>-8.8213377425107153E-2</v>
      </c>
      <c r="E25">
        <f t="shared" ca="1" si="3"/>
        <v>0.27495533236287789</v>
      </c>
      <c r="F25">
        <f t="shared" ca="1" si="4"/>
        <v>-0.21780354934329887</v>
      </c>
    </row>
    <row r="26" spans="1:6" x14ac:dyDescent="0.4">
      <c r="A26">
        <f t="shared" si="5"/>
        <v>8</v>
      </c>
      <c r="B26">
        <f t="shared" ca="1" si="0"/>
        <v>76.408078469840518</v>
      </c>
      <c r="C26">
        <f t="shared" ca="1" si="1"/>
        <v>28.449992438252863</v>
      </c>
      <c r="D26">
        <f t="shared" ca="1" si="2"/>
        <v>0.13442911152476097</v>
      </c>
      <c r="E26">
        <f t="shared" ca="1" si="3"/>
        <v>-5.2777411938138709E-2</v>
      </c>
      <c r="F26">
        <f t="shared" ca="1" si="4"/>
        <v>9.1870197771811477E-2</v>
      </c>
    </row>
    <row r="27" spans="1:6" x14ac:dyDescent="0.4">
      <c r="A27">
        <f t="shared" si="5"/>
        <v>8.5</v>
      </c>
      <c r="B27">
        <f t="shared" ca="1" si="0"/>
        <v>85.070853122456796</v>
      </c>
      <c r="C27">
        <f t="shared" ca="1" si="1"/>
        <v>23.86716688392173</v>
      </c>
      <c r="D27">
        <f t="shared" ca="1" si="2"/>
        <v>-0.10450206115241729</v>
      </c>
      <c r="E27">
        <f t="shared" ca="1" si="3"/>
        <v>-2.0286971643389523E-2</v>
      </c>
      <c r="F27">
        <f t="shared" ca="1" si="4"/>
        <v>-5.1410805942537864E-2</v>
      </c>
    </row>
    <row r="28" spans="1:6" x14ac:dyDescent="0.4">
      <c r="A28">
        <f t="shared" si="5"/>
        <v>9</v>
      </c>
      <c r="B28">
        <f t="shared" ca="1" si="0"/>
        <v>75.50407400539703</v>
      </c>
      <c r="C28">
        <f t="shared" ca="1" si="1"/>
        <v>20.46322393465104</v>
      </c>
      <c r="D28">
        <f t="shared" ca="1" si="2"/>
        <v>-0.14236777729872738</v>
      </c>
      <c r="E28">
        <f t="shared" ca="1" si="3"/>
        <v>-4.8182814224462849E-2</v>
      </c>
      <c r="F28">
        <f t="shared" ca="1" si="4"/>
        <v>3.7452695381792515E-2</v>
      </c>
    </row>
    <row r="29" spans="1:6" x14ac:dyDescent="0.4">
      <c r="A29">
        <f t="shared" si="5"/>
        <v>9.5</v>
      </c>
      <c r="B29">
        <f t="shared" ca="1" si="0"/>
        <v>75.394692102872611</v>
      </c>
      <c r="C29">
        <f t="shared" ca="1" si="1"/>
        <v>31.658438180137559</v>
      </c>
      <c r="D29">
        <f t="shared" ca="1" si="2"/>
        <v>-0.12986145136118971</v>
      </c>
      <c r="E29">
        <f t="shared" ca="1" si="3"/>
        <v>0.13464734779808138</v>
      </c>
      <c r="F29">
        <f t="shared" ca="1" si="4"/>
        <v>-9.0274978373616505E-2</v>
      </c>
    </row>
    <row r="30" spans="1:6" x14ac:dyDescent="0.4">
      <c r="A30">
        <f t="shared" si="5"/>
        <v>10</v>
      </c>
      <c r="B30">
        <f t="shared" ca="1" si="0"/>
        <v>70.894004914941263</v>
      </c>
      <c r="C30">
        <f t="shared" ca="1" si="1"/>
        <v>26.416702468548841</v>
      </c>
      <c r="D30">
        <f t="shared" ca="1" si="2"/>
        <v>0.12120974684341852</v>
      </c>
      <c r="E30">
        <f t="shared" ca="1" si="3"/>
        <v>6.1492655671171931E-2</v>
      </c>
      <c r="F30">
        <f t="shared" ca="1" si="4"/>
        <v>6.4818714810892214E-2</v>
      </c>
    </row>
    <row r="31" spans="1:6" x14ac:dyDescent="0.4">
      <c r="A31">
        <f t="shared" si="5"/>
        <v>10.5</v>
      </c>
      <c r="B31">
        <f t="shared" ca="1" si="0"/>
        <v>76.586223318880116</v>
      </c>
      <c r="C31">
        <f t="shared" ca="1" si="1"/>
        <v>31.617902074724718</v>
      </c>
      <c r="D31">
        <f t="shared" ca="1" si="2"/>
        <v>0.11970811624794363</v>
      </c>
      <c r="E31">
        <f t="shared" ca="1" si="3"/>
        <v>4.768973608674015E-3</v>
      </c>
      <c r="F31">
        <f t="shared" ca="1" si="4"/>
        <v>-1.2604137661706268E-2</v>
      </c>
    </row>
    <row r="32" spans="1:6" x14ac:dyDescent="0.4">
      <c r="A32">
        <f t="shared" si="5"/>
        <v>11</v>
      </c>
      <c r="B32">
        <f t="shared" ca="1" si="0"/>
        <v>71.605258569375607</v>
      </c>
      <c r="C32">
        <f t="shared" ca="1" si="1"/>
        <v>25.391465467435033</v>
      </c>
      <c r="D32">
        <f t="shared" ca="1" si="2"/>
        <v>-9.8020407118341257E-2</v>
      </c>
      <c r="E32">
        <f t="shared" ca="1" si="3"/>
        <v>-0.17324866742899328</v>
      </c>
      <c r="F32">
        <f t="shared" ca="1" si="4"/>
        <v>-1.4915749619089261E-2</v>
      </c>
    </row>
    <row r="33" spans="1:6" x14ac:dyDescent="0.4">
      <c r="A33">
        <f t="shared" si="5"/>
        <v>11.5</v>
      </c>
      <c r="B33">
        <f t="shared" ca="1" si="0"/>
        <v>69.402819144752442</v>
      </c>
      <c r="C33">
        <f t="shared" ca="1" si="1"/>
        <v>32.048875082865244</v>
      </c>
      <c r="D33">
        <f t="shared" ca="1" si="2"/>
        <v>2.5561271268460646E-2</v>
      </c>
      <c r="E33">
        <f t="shared" ca="1" si="3"/>
        <v>-1.4135067540679386E-2</v>
      </c>
      <c r="F33">
        <f t="shared" ca="1" si="4"/>
        <v>2.9015548718186103E-2</v>
      </c>
    </row>
    <row r="34" spans="1:6" x14ac:dyDescent="0.4">
      <c r="A34">
        <f t="shared" si="5"/>
        <v>12</v>
      </c>
      <c r="B34">
        <f t="shared" ca="1" si="0"/>
        <v>66.649091495182773</v>
      </c>
      <c r="C34">
        <f t="shared" ca="1" si="1"/>
        <v>25.962490307314816</v>
      </c>
      <c r="D34">
        <f t="shared" ca="1" si="2"/>
        <v>2.694411161048927E-2</v>
      </c>
      <c r="E34">
        <f t="shared" ca="1" si="3"/>
        <v>9.9045740060479087E-2</v>
      </c>
      <c r="F34">
        <f t="shared" ca="1" si="4"/>
        <v>-0.12841906266397524</v>
      </c>
    </row>
    <row r="35" spans="1:6" x14ac:dyDescent="0.4">
      <c r="A35">
        <f t="shared" si="5"/>
        <v>12.5</v>
      </c>
      <c r="B35">
        <f t="shared" ca="1" si="0"/>
        <v>77.000328175517026</v>
      </c>
      <c r="C35">
        <f t="shared" ca="1" si="1"/>
        <v>22.234510235118176</v>
      </c>
      <c r="D35">
        <f t="shared" ca="1" si="2"/>
        <v>9.2941388537722217E-3</v>
      </c>
      <c r="E35">
        <f t="shared" ca="1" si="3"/>
        <v>9.5595708908004853E-3</v>
      </c>
      <c r="F35">
        <f t="shared" ca="1" si="4"/>
        <v>-7.7298399777931362E-2</v>
      </c>
    </row>
    <row r="36" spans="1:6" x14ac:dyDescent="0.4">
      <c r="A36">
        <f t="shared" si="5"/>
        <v>13</v>
      </c>
      <c r="B36">
        <f t="shared" ca="1" si="0"/>
        <v>72.083748152654934</v>
      </c>
      <c r="C36">
        <f t="shared" ca="1" si="1"/>
        <v>32.741871674525989</v>
      </c>
      <c r="D36">
        <f t="shared" ca="1" si="2"/>
        <v>-0.16240087665701097</v>
      </c>
      <c r="E36">
        <f t="shared" ca="1" si="3"/>
        <v>-0.20834871485500944</v>
      </c>
      <c r="F36">
        <f t="shared" ca="1" si="4"/>
        <v>-0.10795855973677022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Phillips</dc:creator>
  <cp:lastModifiedBy>Nathan Phillips</cp:lastModifiedBy>
  <dcterms:created xsi:type="dcterms:W3CDTF">2025-11-09T05:32:03Z</dcterms:created>
  <dcterms:modified xsi:type="dcterms:W3CDTF">2025-11-09T06:49:07Z</dcterms:modified>
</cp:coreProperties>
</file>